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974CD6A2-428A-4503-9F1B-3ED97F06B046}" xr6:coauthVersionLast="47" xr6:coauthVersionMax="47" xr10:uidLastSave="{00000000-0000-0000-0000-000000000000}"/>
  <bookViews>
    <workbookView xWindow="-108" yWindow="-108" windowWidth="23256" windowHeight="12456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5" l="1"/>
  <c r="C30" i="18"/>
  <c r="D30" i="18"/>
  <c r="E30" i="18"/>
  <c r="F30" i="18"/>
  <c r="B30" i="18"/>
  <c r="C29" i="18"/>
  <c r="D29" i="18"/>
  <c r="E29" i="18"/>
  <c r="F29" i="18"/>
  <c r="B29" i="18"/>
  <c r="B28" i="18"/>
  <c r="C28" i="18"/>
  <c r="D28" i="18"/>
  <c r="E28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6" i="18"/>
  <c r="F6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31" i="19"/>
</calcChain>
</file>

<file path=xl/sharedStrings.xml><?xml version="1.0" encoding="utf-8"?>
<sst xmlns="http://schemas.openxmlformats.org/spreadsheetml/2006/main" count="432" uniqueCount="207">
  <si>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</si>
  <si>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</si>
  <si>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</si>
  <si>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</si>
  <si>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</si>
  <si>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</si>
  <si>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</si>
  <si>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</si>
  <si>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</si>
  <si>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</si>
  <si>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</si>
  <si>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</si>
  <si>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</si>
  <si>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</si>
  <si>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</si>
  <si>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</si>
  <si>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</si>
  <si>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</si>
  <si>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</si>
  <si>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</si>
  <si>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</si>
  <si>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</si>
  <si>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</si>
  <si>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</si>
  <si>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</si>
  <si>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</si>
  <si>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</si>
  <si>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</si>
  <si>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</si>
  <si>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</si>
  <si>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</si>
  <si>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</si>
  <si>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</si>
  <si>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</si>
  <si>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</si>
  <si>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</si>
  <si>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</si>
  <si>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</si>
  <si>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</si>
  <si>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</si>
  <si>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</si>
  <si>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</si>
  <si>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</si>
  <si>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</si>
  <si>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</si>
  <si>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</si>
  <si>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</si>
  <si>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</si>
  <si>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</si>
  <si>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</si>
  <si>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</si>
  <si>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</si>
  <si>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</si>
  <si>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</si>
  <si>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</si>
  <si>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</si>
  <si>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</si>
  <si>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</si>
  <si>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</si>
  <si>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</si>
  <si>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</si>
  <si>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</si>
  <si>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</si>
  <si>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</si>
  <si>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</si>
  <si>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</si>
  <si>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</si>
  <si>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</si>
  <si>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</si>
  <si>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</si>
  <si>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</si>
  <si>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</si>
  <si>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</si>
  <si>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</si>
  <si>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</si>
  <si>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</si>
  <si>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</si>
  <si>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</si>
  <si>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</si>
  <si>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</si>
  <si>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</si>
  <si>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</si>
  <si>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</si>
  <si>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</si>
  <si>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</si>
  <si>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</si>
  <si>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</si>
  <si>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</si>
  <si>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</si>
  <si>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</si>
  <si>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</si>
  <si>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</si>
  <si>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</si>
  <si>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</si>
  <si>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</si>
  <si>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</si>
  <si>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</si>
  <si>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</si>
  <si>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</si>
  <si>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</si>
  <si>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</si>
  <si>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</si>
  <si>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</si>
  <si>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</si>
  <si>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</si>
  <si>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</si>
  <si>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</si>
  <si>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</si>
  <si>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</si>
  <si>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</si>
  <si>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</si>
  <si>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</si>
  <si>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</si>
  <si>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</si>
  <si>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</si>
  <si>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</si>
  <si>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</si>
  <si>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</si>
  <si>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</si>
  <si>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</si>
  <si>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</si>
  <si>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</si>
  <si>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</si>
  <si>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</si>
  <si>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</si>
  <si>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</si>
  <si>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</si>
  <si>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</si>
  <si>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</si>
  <si>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</si>
  <si>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</si>
  <si>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</si>
  <si>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</si>
  <si>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</si>
  <si>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</si>
  <si>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</si>
  <si>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</si>
  <si>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</si>
  <si>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</si>
  <si>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</si>
  <si>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</si>
  <si>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</si>
  <si>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</si>
  <si>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</si>
  <si>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</si>
  <si>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</si>
  <si>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</si>
  <si>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</si>
  <si>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</si>
  <si>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</si>
  <si>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</si>
  <si>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</si>
  <si>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</si>
  <si>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</si>
  <si>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</si>
  <si>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</si>
  <si>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</si>
  <si>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</si>
  <si>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</si>
  <si>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</si>
  <si>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</si>
  <si>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</si>
  <si>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</si>
  <si>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</si>
  <si>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</si>
  <si>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</si>
  <si>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</si>
  <si>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</si>
  <si>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</si>
  <si>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</si>
  <si>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</si>
  <si>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</si>
  <si>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</si>
  <si>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</si>
  <si>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</si>
  <si>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</si>
  <si>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</si>
  <si>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Complete:</t>
  </si>
  <si>
    <t>Once you are satisfied with the result, you've successfully split the data into separate columns.</t>
  </si>
  <si>
    <t xml:space="preserve">Step 1:  </t>
  </si>
  <si>
    <t>Begin by selecting the cells that you want to split. Here we are dealing with the column values.</t>
  </si>
  <si>
    <t>Step 2:</t>
  </si>
  <si>
    <t>Once the range is selected. Go toData Tab and then find and click on "Text to Columns." This action opens the Text to Columns Wizard.</t>
  </si>
  <si>
    <t>Step 3:</t>
  </si>
  <si>
    <t>In the Text to Columns Wizard, opt for "Delimited" as the type of data you're working with, and then click "Next."</t>
  </si>
  <si>
    <t>Step 4:</t>
  </si>
  <si>
    <t>Choose the specific delimiter that separates your values. In your case, it's a hyphen (-). Select Other and type "- " in the provided box.</t>
  </si>
  <si>
    <t>Step 5:</t>
  </si>
  <si>
    <t xml:space="preserve"> The wizard will show you a preview of how your data will be split and Click on Next.</t>
  </si>
  <si>
    <t>Step 6:</t>
  </si>
  <si>
    <t>Once, you click on Next you have to Select the Range of Destination where you want the splitted data to be present.</t>
  </si>
  <si>
    <t>Step 7:</t>
  </si>
  <si>
    <t>Once satisfied with the settings and preview, click "Finish" to complete the process.</t>
  </si>
  <si>
    <t>Step 1:</t>
  </si>
  <si>
    <t>Calculate the Sum of Numeric Sales (Excluding #N/A)</t>
  </si>
  <si>
    <t>This part of the formula uses the SUMIFS function to calculate the sum of all numeric values in the Sales column while excluding any #N/A values.</t>
  </si>
  <si>
    <t>Count the Number of #N/A Values</t>
  </si>
  <si>
    <t>Here, we use the COUNTIF function to count the occurrences of #N/A in the Sales column.</t>
  </si>
  <si>
    <t>Substitute #N/A with the Value '20'</t>
  </si>
  <si>
    <t>We multiply the count of #N/A values by 20 to substitute each #N/A with the value '20'.</t>
  </si>
  <si>
    <t>Combine the Results</t>
  </si>
  <si>
    <t>The final formula adds the sum of numeric sales (excluding #N/A) to the total value obtained by substituting #N/A with '20'. This provides the sum of sales with the specified condition.</t>
  </si>
  <si>
    <t>SUMIFS(C21:C30, C21:C30, "&lt;&gt;#N/A")</t>
  </si>
  <si>
    <t>COUNTIF(C21:C30, "#N/A")</t>
  </si>
  <si>
    <t>COUNTIF(C21:C30, "#N/A") * 20</t>
  </si>
  <si>
    <t>SUMIFS(C21:C30, C21:C30, "&lt;&gt;#N/A") + COUNTIF(C21:C30, "#N/A") * 20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</si>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</sst>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2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Segoe UI"/>
      <family val="2"/>
    </font>
    <font>
      <sz val="10"/>
      <name val="Segoe UI"/>
      <family val="2"/>
    </font>
    <font>
      <sz val="10"/>
      <color rgb="FF000000"/>
      <name val="Segoe UI"/>
      <family val="2"/>
    </font>
    <font>
      <sz val="11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8" fillId="0" borderId="0" xfId="0" applyFont="1"/>
    <xf numFmtId="0" fontId="19" fillId="0" borderId="0" xfId="0" applyFont="1"/>
    <xf numFmtId="0" fontId="9" fillId="0" borderId="0" xfId="0" applyFont="1"/>
    <xf numFmtId="0" fontId="20" fillId="0" borderId="0" xfId="0" applyFont="1"/>
    <xf numFmtId="0" fontId="21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M1" zoomScaleNormal="100" workbookViewId="0">
      <pane ySplit="1" topLeftCell="A19" activePane="bottomLeft" state="frozen"/>
      <selection activeCell="L1" sqref="L1"/>
      <selection pane="bottomLeft" activeCell="O9" sqref="O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4" priority="4"/>
  </conditionalFormatting>
  <conditionalFormatting sqref="B1:B1048576">
    <cfRule type="duplicateValues" dxfId="3" priority="3"/>
  </conditionalFormatting>
  <conditionalFormatting sqref="G2:X40">
    <cfRule type="cellIs" dxfId="2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7" sqref="C1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>
        <f>SUMIF(Dataset!H2:H40, 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I27" sqref="I27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VLOOKUP(A6,Dataset!A2:X40,7,FALSE)</f>
        <v>2.7</v>
      </c>
      <c r="C6" s="12">
        <f>VLOOKUP(A6,Dataset!A2:X40,14,FALSE)</f>
        <v>7.6</v>
      </c>
      <c r="D6" s="12">
        <f>VLOOKUP(A6,Dataset!A2:X40,18,FALSE)</f>
        <v>4.2</v>
      </c>
      <c r="E6" s="12">
        <f>VLOOKUP(A6,Dataset!A2:X40,20,FALSE)</f>
        <v>8.9</v>
      </c>
      <c r="F6" s="8">
        <f>VLOOKUP(A6,Dataset!A2:X40,22,FALSE)</f>
        <v>4.2</v>
      </c>
    </row>
    <row r="7" spans="1:7" ht="14.4" x14ac:dyDescent="0.3">
      <c r="A7" s="7" t="s">
        <v>4</v>
      </c>
      <c r="B7" s="12">
        <f>VLOOKUP(A7,Dataset!A3:X41,7,FALSE)</f>
        <v>2.7</v>
      </c>
      <c r="C7" s="12">
        <f>VLOOKUP(A7,Dataset!A3:X41,14,FALSE)</f>
        <v>7.6</v>
      </c>
      <c r="D7" s="12">
        <f>VLOOKUP(A7,Dataset!A3:X41,18,FALSE)</f>
        <v>4.2</v>
      </c>
      <c r="E7" s="12">
        <f>VLOOKUP(A7,Dataset!A3:X41,20,FALSE)</f>
        <v>8.9</v>
      </c>
      <c r="F7" s="8">
        <f>VLOOKUP(A7,Dataset!A3:X41,22,FALSE)</f>
        <v>4.2</v>
      </c>
    </row>
    <row r="8" spans="1:7" ht="14.4" x14ac:dyDescent="0.3">
      <c r="A8" s="7" t="s">
        <v>7</v>
      </c>
      <c r="B8" s="12">
        <f>VLOOKUP(A8,Dataset!A4:X42,7,FALSE)</f>
        <v>3.6</v>
      </c>
      <c r="C8" s="12">
        <f>VLOOKUP(A8,Dataset!A4:X42,14,FALSE)</f>
        <v>11.1</v>
      </c>
      <c r="D8" s="12">
        <f>VLOOKUP(A8,Dataset!A4:X42,18,FALSE)</f>
        <v>5.8</v>
      </c>
      <c r="E8" s="12">
        <f>VLOOKUP(A8,Dataset!A4:X42,20,FALSE)</f>
        <v>12.2</v>
      </c>
      <c r="F8" s="8">
        <f>VLOOKUP(A8,Dataset!A4:X42,22,FALSE)</f>
        <v>5.8</v>
      </c>
    </row>
    <row r="9" spans="1:7" ht="14.4" x14ac:dyDescent="0.3">
      <c r="A9" s="7" t="s">
        <v>8</v>
      </c>
      <c r="B9" s="12">
        <f>VLOOKUP(A9,Dataset!A5:X43,7,FALSE)</f>
        <v>4.9000000000000004</v>
      </c>
      <c r="C9" s="12">
        <f>VLOOKUP(A9,Dataset!A5:X43,14,FALSE)</f>
        <v>13.3</v>
      </c>
      <c r="D9" s="12">
        <f>VLOOKUP(A9,Dataset!A5:X43,18,FALSE)</f>
        <v>8.1</v>
      </c>
      <c r="E9" s="12">
        <f>VLOOKUP(A9,Dataset!A5:X43,20,FALSE)</f>
        <v>17</v>
      </c>
      <c r="F9" s="8">
        <f>VLOOKUP(A9,Dataset!A5:X43,22,FALSE)</f>
        <v>8.1</v>
      </c>
    </row>
    <row r="10" spans="1:7" ht="14.4" x14ac:dyDescent="0.3">
      <c r="A10" s="7" t="s">
        <v>11</v>
      </c>
      <c r="B10" s="12">
        <f>VLOOKUP(A10,Dataset!A6:X44,7,FALSE)</f>
        <v>9.4</v>
      </c>
      <c r="C10" s="12">
        <f>VLOOKUP(A10,Dataset!A6:X44,14,FALSE)</f>
        <v>28.3</v>
      </c>
      <c r="D10" s="12">
        <f>VLOOKUP(A10,Dataset!A6:X44,18,FALSE)</f>
        <v>16.100000000000001</v>
      </c>
      <c r="E10" s="12">
        <f>VLOOKUP(A10,Dataset!A6:X44,20,FALSE)</f>
        <v>32.799999999999997</v>
      </c>
      <c r="F10" s="8">
        <f>VLOOKUP(A10,Dataset!A6:X44,22,FALSE)</f>
        <v>16.100000000000001</v>
      </c>
    </row>
    <row r="11" spans="1:7" ht="14.4" x14ac:dyDescent="0.3">
      <c r="A11" s="7" t="s">
        <v>12</v>
      </c>
      <c r="B11" s="12">
        <f>VLOOKUP(A11,Dataset!A7:X45,7,FALSE)</f>
        <v>11.6</v>
      </c>
      <c r="C11" s="12">
        <f>VLOOKUP(A11,Dataset!A7:X45,14,FALSE)</f>
        <v>35.200000000000003</v>
      </c>
      <c r="D11" s="12">
        <f>VLOOKUP(A11,Dataset!A7:X45,18,FALSE)</f>
        <v>21.3</v>
      </c>
      <c r="E11" s="12">
        <f>VLOOKUP(A11,Dataset!A7:X45,20,FALSE)</f>
        <v>43</v>
      </c>
      <c r="F11" s="8">
        <f>VLOOKUP(A11,Dataset!A7:X45,22,FALSE)</f>
        <v>21.3</v>
      </c>
    </row>
    <row r="12" spans="1:7" ht="14.4" x14ac:dyDescent="0.3">
      <c r="A12" s="7" t="s">
        <v>14</v>
      </c>
      <c r="B12" s="12">
        <f>VLOOKUP(A12,Dataset!A8:X46,7,FALSE)</f>
        <v>18.399999999999999</v>
      </c>
      <c r="C12" s="12">
        <f>VLOOKUP(A12,Dataset!A8:X46,14,FALSE)</f>
        <v>55.6</v>
      </c>
      <c r="D12" s="12">
        <f>VLOOKUP(A12,Dataset!A8:X46,18,FALSE)</f>
        <v>33.799999999999997</v>
      </c>
      <c r="E12" s="12">
        <f>VLOOKUP(A12,Dataset!A8:X46,20,FALSE)</f>
        <v>67.900000000000006</v>
      </c>
      <c r="F12" s="8">
        <f>VLOOKUP(A12,Dataset!A8:X46,22,FALSE)</f>
        <v>33.799999999999997</v>
      </c>
    </row>
    <row r="13" spans="1:7" ht="14.4" x14ac:dyDescent="0.3">
      <c r="A13" s="7" t="s">
        <v>15</v>
      </c>
      <c r="B13" s="12">
        <f>VLOOKUP(A13,Dataset!A9:X47,7,FALSE)</f>
        <v>0</v>
      </c>
      <c r="C13" s="12">
        <f>VLOOKUP(A13,Dataset!A9:X47,14,FALSE)</f>
        <v>0</v>
      </c>
      <c r="D13" s="12">
        <f>VLOOKUP(A13,Dataset!A9:X47,18,FALSE)</f>
        <v>0</v>
      </c>
      <c r="E13" s="12">
        <f>VLOOKUP(A13,Dataset!A9:X47,20,FALSE)</f>
        <v>0</v>
      </c>
      <c r="F13" s="8">
        <f>VLOOKUP(A13,Dataset!A9:X47,22,FALSE)</f>
        <v>0</v>
      </c>
    </row>
    <row r="14" spans="1:7" ht="14.4" x14ac:dyDescent="0.3">
      <c r="A14" s="7" t="s">
        <v>16</v>
      </c>
      <c r="B14" s="12">
        <f>VLOOKUP(A14,Dataset!A10:X48,7,FALSE)</f>
        <v>21.9</v>
      </c>
      <c r="C14" s="12">
        <f>VLOOKUP(A14,Dataset!A10:X48,14,FALSE)</f>
        <v>61.5</v>
      </c>
      <c r="D14" s="12">
        <f>VLOOKUP(A14,Dataset!A10:X48,18,FALSE)</f>
        <v>40.1</v>
      </c>
      <c r="E14" s="12">
        <f>VLOOKUP(A14,Dataset!A10:X48,20,FALSE)</f>
        <v>76.599999999999994</v>
      </c>
      <c r="F14" s="8">
        <f>VLOOKUP(A14,Dataset!A10:X48,22,FALSE)</f>
        <v>40.1</v>
      </c>
    </row>
    <row r="15" spans="1:7" ht="14.4" x14ac:dyDescent="0.3">
      <c r="A15" s="7" t="s">
        <v>18</v>
      </c>
      <c r="B15" s="12">
        <f>VLOOKUP(A15,Dataset!A11:X49,7,FALSE)</f>
        <v>26.8</v>
      </c>
      <c r="C15" s="12">
        <f>VLOOKUP(A15,Dataset!A11:X49,14,FALSE)</f>
        <v>79.599999999999994</v>
      </c>
      <c r="D15" s="12">
        <f>VLOOKUP(A15,Dataset!A11:X49,18,FALSE)</f>
        <v>47.9</v>
      </c>
      <c r="E15" s="12">
        <f>VLOOKUP(A15,Dataset!A11:X49,20,FALSE)</f>
        <v>96.8</v>
      </c>
      <c r="F15" s="8">
        <f>VLOOKUP(A15,Dataset!A11:X49,22,FALSE)</f>
        <v>47.9</v>
      </c>
    </row>
    <row r="16" spans="1:7" ht="14.4" x14ac:dyDescent="0.3">
      <c r="A16" s="7" t="s">
        <v>20</v>
      </c>
      <c r="B16" s="12">
        <f>VLOOKUP(A16,Dataset!A12:X50,7,FALSE)</f>
        <v>28.5</v>
      </c>
      <c r="C16" s="12">
        <f>VLOOKUP(A16,Dataset!A12:X50,14,FALSE)</f>
        <v>85.4</v>
      </c>
      <c r="D16" s="12">
        <f>VLOOKUP(A16,Dataset!A12:X50,18,FALSE)</f>
        <v>52.3</v>
      </c>
      <c r="E16" s="12">
        <f>VLOOKUP(A16,Dataset!A12:X50,20,FALSE)</f>
        <v>106.1</v>
      </c>
      <c r="F16" s="8">
        <f>VLOOKUP(A16,Dataset!A12:X50,22,FALSE)</f>
        <v>52.3</v>
      </c>
    </row>
    <row r="17" spans="1:6" ht="14.4" x14ac:dyDescent="0.3">
      <c r="A17" s="7" t="s">
        <v>22</v>
      </c>
      <c r="B17" s="12">
        <f>VLOOKUP(A17,Dataset!A13:X51,7,FALSE)</f>
        <v>30.7</v>
      </c>
      <c r="C17" s="12">
        <f>VLOOKUP(A17,Dataset!A13:X51,14,FALSE)</f>
        <v>92.1</v>
      </c>
      <c r="D17" s="12">
        <f>VLOOKUP(A17,Dataset!A13:X51,18,FALSE)</f>
        <v>57</v>
      </c>
      <c r="E17" s="12">
        <f>VLOOKUP(A17,Dataset!A13:X51,20,FALSE)</f>
        <v>115.1</v>
      </c>
      <c r="F17" s="8">
        <f>VLOOKUP(A17,Dataset!A13:X51,22,FALSE)</f>
        <v>57</v>
      </c>
    </row>
    <row r="18" spans="1:6" ht="14.4" x14ac:dyDescent="0.3">
      <c r="A18" s="7" t="s">
        <v>23</v>
      </c>
      <c r="B18" s="12">
        <f>VLOOKUP(A18,Dataset!A14:X52,7,FALSE)</f>
        <v>33.799999999999997</v>
      </c>
      <c r="C18" s="12">
        <f>VLOOKUP(A18,Dataset!A14:X52,14,FALSE)</f>
        <v>101.3</v>
      </c>
      <c r="D18" s="12">
        <f>VLOOKUP(A18,Dataset!A14:X52,18,FALSE)</f>
        <v>61.4</v>
      </c>
      <c r="E18" s="12">
        <f>VLOOKUP(A18,Dataset!A14:X52,20,FALSE)</f>
        <v>124.4</v>
      </c>
      <c r="F18" s="8">
        <f>VLOOKUP(A18,Dataset!A14:X52,22,FALSE)</f>
        <v>61.4</v>
      </c>
    </row>
    <row r="19" spans="1:6" ht="14.4" x14ac:dyDescent="0.3">
      <c r="A19" s="7" t="s">
        <v>24</v>
      </c>
      <c r="B19" s="12">
        <f>VLOOKUP(A19,Dataset!A15:X53,7,FALSE)</f>
        <v>34.700000000000003</v>
      </c>
      <c r="C19" s="12">
        <f>VLOOKUP(A19,Dataset!A15:X53,14,FALSE)</f>
        <v>106.1</v>
      </c>
      <c r="D19" s="12">
        <f>VLOOKUP(A19,Dataset!A15:X53,18,FALSE)</f>
        <v>63.6</v>
      </c>
      <c r="E19" s="12">
        <f>VLOOKUP(A19,Dataset!A15:X53,20,FALSE)</f>
        <v>128.6</v>
      </c>
      <c r="F19" s="8">
        <f>VLOOKUP(A19,Dataset!A15:X53,22,FALSE)</f>
        <v>63.6</v>
      </c>
    </row>
    <row r="20" spans="1:6" ht="14.4" x14ac:dyDescent="0.3">
      <c r="A20" s="7" t="s">
        <v>28</v>
      </c>
      <c r="B20" s="12">
        <f>VLOOKUP(A20,Dataset!A16:X54,7,FALSE)</f>
        <v>0</v>
      </c>
      <c r="C20" s="12">
        <f>VLOOKUP(A20,Dataset!A16:X54,14,FALSE)</f>
        <v>0</v>
      </c>
      <c r="D20" s="12">
        <f>VLOOKUP(A20,Dataset!A16:X54,18,FALSE)</f>
        <v>0</v>
      </c>
      <c r="E20" s="12">
        <f>VLOOKUP(A20,Dataset!A16:X54,20,FALSE)</f>
        <v>0</v>
      </c>
      <c r="F20" s="8">
        <f>VLOOKUP(A20,Dataset!A16:X54,22,FALSE)</f>
        <v>0</v>
      </c>
    </row>
    <row r="21" spans="1:6" ht="14.4" x14ac:dyDescent="0.3">
      <c r="A21" s="7" t="s">
        <v>57</v>
      </c>
      <c r="B21" s="12">
        <f>VLOOKUP(A21,Dataset!A17:X55,7,FALSE)</f>
        <v>41.3</v>
      </c>
      <c r="C21" s="12">
        <f>VLOOKUP(A21,Dataset!A17:X55,14,FALSE)</f>
        <v>124.4</v>
      </c>
      <c r="D21" s="12">
        <f>VLOOKUP(A21,Dataset!A17:X55,18,FALSE)</f>
        <v>75</v>
      </c>
      <c r="E21" s="12">
        <f>VLOOKUP(A21,Dataset!A17:X55,20,FALSE)</f>
        <v>151.5</v>
      </c>
      <c r="F21" s="8">
        <f>VLOOKUP(A21,Dataset!A17:X55,22,FALSE)</f>
        <v>75</v>
      </c>
    </row>
    <row r="22" spans="1:6" ht="14.4" x14ac:dyDescent="0.3">
      <c r="A22" s="7" t="s">
        <v>58</v>
      </c>
      <c r="B22" s="12">
        <f>VLOOKUP(A22,Dataset!A18:X56,7,FALSE)</f>
        <v>-1</v>
      </c>
      <c r="C22" s="12">
        <f>VLOOKUP(A22,Dataset!A18:X56,14,FALSE)</f>
        <v>-1</v>
      </c>
      <c r="D22" s="12">
        <f>VLOOKUP(A22,Dataset!A18:X56,18,FALSE)</f>
        <v>-1</v>
      </c>
      <c r="E22" s="12">
        <f>VLOOKUP(A22,Dataset!A18:X56,20,FALSE)</f>
        <v>-1</v>
      </c>
      <c r="F22" s="8">
        <f>VLOOKUP(A22,Dataset!A18:X56,22,FALSE)</f>
        <v>-1</v>
      </c>
    </row>
    <row r="23" spans="1:6" ht="14.4" x14ac:dyDescent="0.3">
      <c r="A23" s="7" t="s">
        <v>31</v>
      </c>
      <c r="B23" s="12">
        <f>VLOOKUP(A23,Dataset!A19:X57,7,FALSE)</f>
        <v>45</v>
      </c>
      <c r="C23" s="12">
        <f>VLOOKUP(A23,Dataset!A19:X57,14,FALSE)</f>
        <v>133.4</v>
      </c>
      <c r="D23" s="12">
        <f>VLOOKUP(A23,Dataset!A19:X57,18,FALSE)</f>
        <v>79.400000000000006</v>
      </c>
      <c r="E23" s="12">
        <f>VLOOKUP(A23,Dataset!A19:X57,20,FALSE)</f>
        <v>160.9</v>
      </c>
      <c r="F23" s="8">
        <f>VLOOKUP(A23,Dataset!A19:X57,22,FALSE)</f>
        <v>79.400000000000006</v>
      </c>
    </row>
    <row r="24" spans="1:6" ht="14.4" x14ac:dyDescent="0.3">
      <c r="A24" s="7" t="s">
        <v>32</v>
      </c>
      <c r="B24" s="12">
        <f>VLOOKUP(A24,Dataset!A20:X58,7,FALSE)</f>
        <v>-1</v>
      </c>
      <c r="C24" s="12">
        <f>VLOOKUP(A24,Dataset!A20:X58,14,FALSE)</f>
        <v>-1</v>
      </c>
      <c r="D24" s="12">
        <f>VLOOKUP(A24,Dataset!A20:X58,18,FALSE)</f>
        <v>-1</v>
      </c>
      <c r="E24" s="12">
        <f>VLOOKUP(A24,Dataset!A20:X58,20,FALSE)</f>
        <v>-1</v>
      </c>
      <c r="F24" s="8">
        <f>VLOOKUP(A24,Dataset!A20:X58,22,FALSE)</f>
        <v>-1</v>
      </c>
    </row>
    <row r="25" spans="1:6" ht="14.4" x14ac:dyDescent="0.3">
      <c r="A25" s="7" t="s">
        <v>34</v>
      </c>
      <c r="B25" s="12">
        <f>VLOOKUP(A25,Dataset!A21:X59,7,FALSE)</f>
        <v>43.3</v>
      </c>
      <c r="C25" s="12">
        <f>VLOOKUP(A25,Dataset!A21:X59,14,FALSE)</f>
        <v>128.6</v>
      </c>
      <c r="D25" s="12">
        <f>VLOOKUP(A25,Dataset!A21:X59,18,FALSE)</f>
        <v>79.400000000000006</v>
      </c>
      <c r="E25" s="12">
        <f>VLOOKUP(A25,Dataset!A21:X59,20,FALSE)</f>
        <v>160.9</v>
      </c>
      <c r="F25" s="8">
        <f>VLOOKUP(A25,Dataset!A21:X59,22,FALSE)</f>
        <v>79.400000000000006</v>
      </c>
    </row>
    <row r="26" spans="1:6" ht="14.4" x14ac:dyDescent="0.3">
      <c r="A26" s="7" t="s">
        <v>37</v>
      </c>
      <c r="B26" s="12">
        <f>VLOOKUP(A26,Dataset!A22:X60,7,FALSE)</f>
        <v>49.1</v>
      </c>
      <c r="C26" s="12">
        <f>VLOOKUP(A26,Dataset!A22:X60,14,FALSE)</f>
        <v>146.80000000000001</v>
      </c>
      <c r="D26" s="12">
        <f>VLOOKUP(A26,Dataset!A22:X60,18,FALSE)</f>
        <v>90.9</v>
      </c>
      <c r="E26" s="12">
        <f>VLOOKUP(A26,Dataset!A22:X60,20,FALSE)</f>
        <v>183.5</v>
      </c>
      <c r="F26" s="8">
        <f>VLOOKUP(A26,Dataset!A22:X60,22,FALSE)</f>
        <v>90.9</v>
      </c>
    </row>
    <row r="27" spans="1:6" ht="14.4" x14ac:dyDescent="0.3">
      <c r="A27" s="7" t="s">
        <v>39</v>
      </c>
      <c r="B27" s="12">
        <f>VLOOKUP(A27,Dataset!A23:X61,7,FALSE)</f>
        <v>51.8</v>
      </c>
      <c r="C27" s="12">
        <f>VLOOKUP(A27,Dataset!A23:X61,14,FALSE)</f>
        <v>156.4</v>
      </c>
      <c r="D27" s="12">
        <f>VLOOKUP(A27,Dataset!A23:X61,18,FALSE)</f>
        <v>93.1</v>
      </c>
      <c r="E27" s="12">
        <f>VLOOKUP(A27,Dataset!A23:X61,20,FALSE)</f>
        <v>188.1</v>
      </c>
      <c r="F27" s="8">
        <f>VLOOKUP(A27,Dataset!A23:X61,22,FALSE)</f>
        <v>93.1</v>
      </c>
    </row>
    <row r="28" spans="1:6" ht="14.4" x14ac:dyDescent="0.3">
      <c r="A28" s="19" t="s">
        <v>82</v>
      </c>
      <c r="B28" s="12">
        <f>MIN(B6:B27)</f>
        <v>-1</v>
      </c>
      <c r="C28" s="12">
        <f t="shared" ref="C28:F28" si="0">MIN(C6:C27)</f>
        <v>-1</v>
      </c>
      <c r="D28" s="12">
        <f t="shared" si="0"/>
        <v>-1</v>
      </c>
      <c r="E28" s="12">
        <f t="shared" si="0"/>
        <v>-1</v>
      </c>
      <c r="F28" s="12">
        <f t="shared" si="0"/>
        <v>-1</v>
      </c>
    </row>
    <row r="29" spans="1:6" ht="14.4" x14ac:dyDescent="0.3">
      <c r="A29" s="19" t="s">
        <v>83</v>
      </c>
      <c r="B29" s="12">
        <f>MAX(B7:B27)</f>
        <v>51.8</v>
      </c>
      <c r="C29" s="12">
        <f t="shared" ref="C29:F29" si="1">MAX(C7:C27)</f>
        <v>156.4</v>
      </c>
      <c r="D29" s="12">
        <f t="shared" si="1"/>
        <v>93.1</v>
      </c>
      <c r="E29" s="12">
        <f t="shared" si="1"/>
        <v>188.1</v>
      </c>
      <c r="F29" s="12">
        <f t="shared" si="1"/>
        <v>93.1</v>
      </c>
    </row>
    <row r="30" spans="1:6" ht="14.4" x14ac:dyDescent="0.3">
      <c r="A30" s="19" t="s">
        <v>84</v>
      </c>
      <c r="B30" s="12">
        <f>AVERAGE(B6:B27)</f>
        <v>20.827272727272728</v>
      </c>
      <c r="C30" s="12">
        <f t="shared" ref="C30:F30" si="2">AVERAGE(C6:C27)</f>
        <v>62.377272727272725</v>
      </c>
      <c r="D30" s="12">
        <f t="shared" si="2"/>
        <v>37.800000000000004</v>
      </c>
      <c r="E30" s="12">
        <f t="shared" si="2"/>
        <v>76.418181818181822</v>
      </c>
      <c r="F30" s="12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M61"/>
  <sheetViews>
    <sheetView topLeftCell="B15" zoomScaleNormal="100" workbookViewId="0">
      <selection activeCell="I21" sqref="I21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3" s="41" customFormat="1" ht="21" x14ac:dyDescent="0.4">
      <c r="A1" s="42" t="s">
        <v>56</v>
      </c>
      <c r="B1" s="41" t="s">
        <v>174</v>
      </c>
    </row>
    <row r="2" spans="1:13" customFormat="1" ht="13.2" x14ac:dyDescent="0.25"/>
    <row r="3" spans="1:13" s="2" customFormat="1" x14ac:dyDescent="0.3">
      <c r="B3" s="1"/>
    </row>
    <row r="4" spans="1:13" s="2" customFormat="1" x14ac:dyDescent="0.3">
      <c r="B4" s="1" t="s">
        <v>151</v>
      </c>
    </row>
    <row r="5" spans="1:13" ht="18" x14ac:dyDescent="0.35">
      <c r="A5" s="43" t="s">
        <v>53</v>
      </c>
      <c r="B5" s="40"/>
    </row>
    <row r="6" spans="1:13" ht="18" x14ac:dyDescent="0.35">
      <c r="A6" s="43" t="s">
        <v>153</v>
      </c>
      <c r="B6" s="40"/>
    </row>
    <row r="7" spans="1:13" ht="18.600000000000001" x14ac:dyDescent="0.4">
      <c r="A7" s="43"/>
      <c r="B7" s="40" t="s">
        <v>179</v>
      </c>
      <c r="C7" s="50" t="s">
        <v>180</v>
      </c>
      <c r="D7" s="50"/>
      <c r="E7" s="50"/>
      <c r="F7" s="50"/>
      <c r="G7" s="50"/>
      <c r="H7" s="50"/>
      <c r="I7" s="50"/>
      <c r="J7" s="50"/>
      <c r="K7" s="50"/>
      <c r="L7" s="50"/>
      <c r="M7" s="50"/>
    </row>
    <row r="8" spans="1:13" ht="18.600000000000001" x14ac:dyDescent="0.4">
      <c r="A8" s="43"/>
      <c r="B8" s="40" t="s">
        <v>181</v>
      </c>
      <c r="C8" s="50" t="s">
        <v>182</v>
      </c>
      <c r="D8" s="50"/>
      <c r="E8" s="50"/>
      <c r="F8" s="50"/>
      <c r="G8" s="50"/>
      <c r="H8" s="50"/>
      <c r="I8" s="50"/>
      <c r="J8" s="50"/>
      <c r="K8" s="50"/>
      <c r="L8" s="50"/>
      <c r="M8" s="50"/>
    </row>
    <row r="9" spans="1:13" ht="18.600000000000001" x14ac:dyDescent="0.4">
      <c r="A9" s="43"/>
      <c r="B9" s="40" t="s">
        <v>183</v>
      </c>
      <c r="C9" s="50" t="s">
        <v>184</v>
      </c>
      <c r="D9" s="50"/>
      <c r="E9" s="50"/>
      <c r="F9" s="50"/>
      <c r="G9" s="50"/>
      <c r="H9" s="50"/>
      <c r="I9" s="50"/>
      <c r="J9" s="50"/>
      <c r="K9" s="50"/>
      <c r="L9" s="50"/>
      <c r="M9" s="50"/>
    </row>
    <row r="10" spans="1:13" ht="18.600000000000001" x14ac:dyDescent="0.4">
      <c r="A10" s="43"/>
      <c r="B10" s="40" t="s">
        <v>185</v>
      </c>
      <c r="C10" s="50" t="s">
        <v>186</v>
      </c>
      <c r="D10" s="50"/>
      <c r="E10" s="50"/>
      <c r="F10" s="50"/>
      <c r="G10" s="50"/>
      <c r="H10" s="50"/>
      <c r="I10" s="50"/>
      <c r="J10" s="50"/>
      <c r="K10" s="50"/>
      <c r="L10" s="50"/>
      <c r="M10" s="50"/>
    </row>
    <row r="11" spans="1:13" ht="18.600000000000001" x14ac:dyDescent="0.4">
      <c r="A11" s="43"/>
      <c r="B11" s="40" t="s">
        <v>187</v>
      </c>
      <c r="C11" s="50" t="s">
        <v>188</v>
      </c>
      <c r="D11" s="50"/>
      <c r="E11" s="50"/>
      <c r="F11" s="50"/>
      <c r="G11" s="50"/>
      <c r="H11" s="50"/>
      <c r="I11" s="50"/>
      <c r="J11" s="50"/>
      <c r="K11" s="50"/>
      <c r="L11" s="50"/>
      <c r="M11" s="50"/>
    </row>
    <row r="12" spans="1:13" ht="18.600000000000001" x14ac:dyDescent="0.4">
      <c r="A12" s="43"/>
      <c r="B12" s="40" t="s">
        <v>189</v>
      </c>
      <c r="C12" s="50" t="s">
        <v>190</v>
      </c>
      <c r="D12" s="50"/>
      <c r="E12" s="50"/>
      <c r="F12" s="50"/>
      <c r="G12" s="50"/>
      <c r="H12" s="50"/>
      <c r="I12" s="50"/>
      <c r="J12" s="50"/>
      <c r="K12" s="50"/>
      <c r="L12" s="50"/>
      <c r="M12" s="50"/>
    </row>
    <row r="13" spans="1:13" ht="18.600000000000001" x14ac:dyDescent="0.4">
      <c r="A13" s="43"/>
      <c r="B13" s="40" t="s">
        <v>191</v>
      </c>
      <c r="C13" s="50" t="s">
        <v>192</v>
      </c>
      <c r="D13" s="50"/>
      <c r="E13" s="50"/>
      <c r="F13" s="50"/>
      <c r="G13" s="50"/>
      <c r="H13" s="50"/>
      <c r="I13" s="50"/>
      <c r="J13" s="50"/>
      <c r="K13" s="50"/>
      <c r="L13" s="50"/>
      <c r="M13" s="50"/>
    </row>
    <row r="16" spans="1:13" ht="23.4" x14ac:dyDescent="0.45">
      <c r="A16" s="18" t="s">
        <v>165</v>
      </c>
      <c r="I16" s="2"/>
      <c r="J16" s="2"/>
    </row>
    <row r="17" spans="1:10" x14ac:dyDescent="0.3">
      <c r="A17" s="33" t="s">
        <v>102</v>
      </c>
      <c r="B17" s="17" t="s">
        <v>177</v>
      </c>
      <c r="C17" s="17"/>
      <c r="D17" s="17"/>
      <c r="E17" s="17" t="s">
        <v>52</v>
      </c>
      <c r="F17" s="17" t="s">
        <v>54</v>
      </c>
      <c r="I17" s="2"/>
      <c r="J17" s="2"/>
    </row>
    <row r="18" spans="1:10" x14ac:dyDescent="0.3">
      <c r="A18" s="9" t="s">
        <v>121</v>
      </c>
      <c r="B18" s="13" t="s">
        <v>178</v>
      </c>
      <c r="C18" s="13"/>
      <c r="D18" s="13"/>
      <c r="E18" s="11" t="s">
        <v>6</v>
      </c>
      <c r="F18" s="11">
        <v>24</v>
      </c>
      <c r="I18" s="2"/>
      <c r="J18" s="2"/>
    </row>
    <row r="21" spans="1:10" ht="23.4" x14ac:dyDescent="0.45">
      <c r="A21" s="18" t="s">
        <v>162</v>
      </c>
    </row>
    <row r="22" spans="1:10" x14ac:dyDescent="0.3">
      <c r="A22" s="14" t="s">
        <v>103</v>
      </c>
      <c r="B22" s="17" t="s">
        <v>49</v>
      </c>
      <c r="C22" s="15" t="s">
        <v>50</v>
      </c>
      <c r="D22" s="17" t="s">
        <v>51</v>
      </c>
      <c r="E22" s="15" t="s">
        <v>52</v>
      </c>
      <c r="F22" s="17" t="s">
        <v>54</v>
      </c>
    </row>
    <row r="23" spans="1:10" x14ac:dyDescent="0.3">
      <c r="A23" s="7" t="s">
        <v>121</v>
      </c>
      <c r="B23" s="12">
        <v>20000</v>
      </c>
      <c r="C23" s="1" t="s">
        <v>5</v>
      </c>
      <c r="D23" s="12">
        <v>0</v>
      </c>
      <c r="E23" s="1" t="s">
        <v>6</v>
      </c>
      <c r="F23" s="12">
        <v>24</v>
      </c>
    </row>
    <row r="24" spans="1:10" x14ac:dyDescent="0.3">
      <c r="A24" s="7" t="s">
        <v>122</v>
      </c>
      <c r="B24" s="12">
        <v>20002</v>
      </c>
      <c r="C24" s="1" t="s">
        <v>5</v>
      </c>
      <c r="D24" s="12">
        <v>0</v>
      </c>
      <c r="E24" s="1" t="s">
        <v>6</v>
      </c>
      <c r="F24" s="12">
        <v>24</v>
      </c>
    </row>
    <row r="25" spans="1:10" x14ac:dyDescent="0.3">
      <c r="A25" s="7" t="s">
        <v>123</v>
      </c>
      <c r="B25" s="12">
        <v>20004</v>
      </c>
      <c r="C25" s="1" t="s">
        <v>5</v>
      </c>
      <c r="D25" s="12">
        <v>0</v>
      </c>
      <c r="E25" s="1" t="s">
        <v>6</v>
      </c>
      <c r="F25" s="12">
        <v>24</v>
      </c>
    </row>
    <row r="26" spans="1:10" x14ac:dyDescent="0.3">
      <c r="A26" s="7" t="s">
        <v>124</v>
      </c>
      <c r="B26" s="12">
        <v>20006</v>
      </c>
      <c r="C26" s="1" t="s">
        <v>5</v>
      </c>
      <c r="D26" s="12">
        <v>0</v>
      </c>
      <c r="E26" s="1" t="s">
        <v>6</v>
      </c>
      <c r="F26" s="12">
        <v>24</v>
      </c>
    </row>
    <row r="27" spans="1:10" x14ac:dyDescent="0.3">
      <c r="A27" s="7" t="s">
        <v>125</v>
      </c>
      <c r="B27" s="12">
        <v>20008</v>
      </c>
      <c r="C27" s="1" t="s">
        <v>5</v>
      </c>
      <c r="D27" s="12">
        <v>0</v>
      </c>
      <c r="E27" s="1" t="s">
        <v>6</v>
      </c>
      <c r="F27" s="12">
        <v>24</v>
      </c>
    </row>
    <row r="28" spans="1:10" x14ac:dyDescent="0.3">
      <c r="A28" s="7" t="s">
        <v>126</v>
      </c>
      <c r="B28" s="12">
        <v>20010</v>
      </c>
      <c r="C28" s="1" t="s">
        <v>5</v>
      </c>
      <c r="D28" s="12">
        <v>0</v>
      </c>
      <c r="E28" s="1" t="s">
        <v>6</v>
      </c>
      <c r="F28" s="12">
        <v>24</v>
      </c>
    </row>
    <row r="29" spans="1:10" x14ac:dyDescent="0.3">
      <c r="A29" s="7" t="s">
        <v>127</v>
      </c>
      <c r="B29" s="12">
        <v>20012</v>
      </c>
      <c r="C29" s="1" t="s">
        <v>5</v>
      </c>
      <c r="D29" s="12">
        <v>0</v>
      </c>
      <c r="E29" s="1" t="s">
        <v>6</v>
      </c>
      <c r="F29" s="12">
        <v>24</v>
      </c>
    </row>
    <row r="30" spans="1:10" x14ac:dyDescent="0.3">
      <c r="A30" s="7" t="s">
        <v>128</v>
      </c>
      <c r="B30" s="12">
        <v>20014</v>
      </c>
      <c r="C30" s="1" t="s">
        <v>5</v>
      </c>
      <c r="D30" s="12">
        <v>0</v>
      </c>
      <c r="E30" s="1" t="s">
        <v>6</v>
      </c>
      <c r="F30" s="12">
        <v>24</v>
      </c>
    </row>
    <row r="31" spans="1:10" x14ac:dyDescent="0.3">
      <c r="A31" s="7" t="s">
        <v>129</v>
      </c>
      <c r="B31" s="12">
        <v>20016</v>
      </c>
      <c r="C31" s="1" t="s">
        <v>5</v>
      </c>
      <c r="D31" s="12">
        <v>0</v>
      </c>
      <c r="E31" s="1" t="s">
        <v>6</v>
      </c>
      <c r="F31" s="12">
        <v>24</v>
      </c>
    </row>
    <row r="32" spans="1:10" x14ac:dyDescent="0.3">
      <c r="A32" s="7" t="s">
        <v>130</v>
      </c>
      <c r="B32" s="12">
        <v>20018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131</v>
      </c>
      <c r="B33" s="12">
        <v>20020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132</v>
      </c>
      <c r="B34" s="12">
        <v>20022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133</v>
      </c>
      <c r="B35" s="12">
        <v>20024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134</v>
      </c>
      <c r="B36" s="12">
        <v>20026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135</v>
      </c>
      <c r="B37" s="12">
        <v>20028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136</v>
      </c>
      <c r="B38" s="12">
        <v>20030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137</v>
      </c>
      <c r="B39" s="12">
        <v>20032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138</v>
      </c>
      <c r="B40" s="12">
        <v>20034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139</v>
      </c>
      <c r="B41" s="12">
        <v>20036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140</v>
      </c>
      <c r="B42" s="12">
        <v>20038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141</v>
      </c>
      <c r="B43" s="12">
        <v>20040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142</v>
      </c>
      <c r="B44" s="12">
        <v>20042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143</v>
      </c>
      <c r="B45" s="12">
        <v>20044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144</v>
      </c>
      <c r="B46" s="12">
        <v>20046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145</v>
      </c>
      <c r="B47" s="12">
        <v>20048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146</v>
      </c>
      <c r="B48" s="12">
        <v>20050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147</v>
      </c>
      <c r="B49" s="12">
        <v>20052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148</v>
      </c>
      <c r="B50" s="12">
        <v>20054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149</v>
      </c>
      <c r="B51" s="12">
        <v>20058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150</v>
      </c>
      <c r="B52" s="12">
        <v>20060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112</v>
      </c>
      <c r="B53" s="12">
        <v>21000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7" t="s">
        <v>113</v>
      </c>
      <c r="B54" s="12">
        <v>21002</v>
      </c>
      <c r="C54" s="1" t="s">
        <v>5</v>
      </c>
      <c r="D54" s="12">
        <v>0</v>
      </c>
      <c r="E54" s="1" t="s">
        <v>6</v>
      </c>
      <c r="F54" s="12">
        <v>24</v>
      </c>
    </row>
    <row r="55" spans="1:6" x14ac:dyDescent="0.3">
      <c r="A55" s="7" t="s">
        <v>114</v>
      </c>
      <c r="B55" s="12">
        <v>21004</v>
      </c>
      <c r="C55" s="1" t="s">
        <v>5</v>
      </c>
      <c r="D55" s="12">
        <v>0</v>
      </c>
      <c r="E55" s="1" t="s">
        <v>6</v>
      </c>
      <c r="F55" s="12">
        <v>24</v>
      </c>
    </row>
    <row r="56" spans="1:6" x14ac:dyDescent="0.3">
      <c r="A56" s="7" t="s">
        <v>115</v>
      </c>
      <c r="B56" s="12">
        <v>21006</v>
      </c>
      <c r="C56" s="1" t="s">
        <v>5</v>
      </c>
      <c r="D56" s="12">
        <v>0</v>
      </c>
      <c r="E56" s="1" t="s">
        <v>6</v>
      </c>
      <c r="F56" s="12">
        <v>24</v>
      </c>
    </row>
    <row r="57" spans="1:6" x14ac:dyDescent="0.3">
      <c r="A57" s="7" t="s">
        <v>116</v>
      </c>
      <c r="B57" s="12">
        <v>21008</v>
      </c>
      <c r="C57" s="1" t="s">
        <v>5</v>
      </c>
      <c r="D57" s="12">
        <v>0</v>
      </c>
      <c r="E57" s="1" t="s">
        <v>6</v>
      </c>
      <c r="F57" s="12">
        <v>24</v>
      </c>
    </row>
    <row r="58" spans="1:6" x14ac:dyDescent="0.3">
      <c r="A58" s="7" t="s">
        <v>117</v>
      </c>
      <c r="B58" s="12">
        <v>21010</v>
      </c>
      <c r="C58" s="1" t="s">
        <v>5</v>
      </c>
      <c r="D58" s="12">
        <v>0</v>
      </c>
      <c r="E58" s="1" t="s">
        <v>6</v>
      </c>
      <c r="F58" s="12">
        <v>24</v>
      </c>
    </row>
    <row r="59" spans="1:6" x14ac:dyDescent="0.3">
      <c r="A59" s="7" t="s">
        <v>118</v>
      </c>
      <c r="B59" s="12">
        <v>21012</v>
      </c>
      <c r="C59" s="1" t="s">
        <v>5</v>
      </c>
      <c r="D59" s="12">
        <v>0</v>
      </c>
      <c r="E59" s="1" t="s">
        <v>6</v>
      </c>
      <c r="F59" s="12">
        <v>24</v>
      </c>
    </row>
    <row r="60" spans="1:6" x14ac:dyDescent="0.3">
      <c r="A60" s="7" t="s">
        <v>119</v>
      </c>
      <c r="B60" s="12">
        <v>21014</v>
      </c>
      <c r="C60" s="1" t="s">
        <v>5</v>
      </c>
      <c r="D60" s="12">
        <v>0</v>
      </c>
      <c r="E60" s="1" t="s">
        <v>6</v>
      </c>
      <c r="F60" s="12">
        <v>24</v>
      </c>
    </row>
    <row r="61" spans="1:6" x14ac:dyDescent="0.3">
      <c r="A61" s="9" t="s">
        <v>120</v>
      </c>
      <c r="B61" s="13">
        <v>21016</v>
      </c>
      <c r="C61" s="10" t="s">
        <v>5</v>
      </c>
      <c r="D61" s="13">
        <v>0</v>
      </c>
      <c r="E61" s="10" t="s">
        <v>6</v>
      </c>
      <c r="F61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31"/>
  <sheetViews>
    <sheetView tabSelected="1" topLeftCell="A12" zoomScaleNormal="100" workbookViewId="0">
      <selection activeCell="C31" sqref="C31"/>
    </sheetView>
  </sheetViews>
  <sheetFormatPr defaultColWidth="11" defaultRowHeight="13.8" x14ac:dyDescent="0.3"/>
  <cols>
    <col min="1" max="1" width="28.21875" style="2" bestFit="1" customWidth="1"/>
    <col min="2" max="2" width="17.77734375" style="2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/>
    </row>
    <row r="7" spans="1:3" ht="15" x14ac:dyDescent="0.35">
      <c r="A7" s="3" t="s">
        <v>153</v>
      </c>
      <c r="B7" s="3" t="s">
        <v>193</v>
      </c>
      <c r="C7" s="46" t="s">
        <v>194</v>
      </c>
    </row>
    <row r="8" spans="1:3" ht="14.4" x14ac:dyDescent="0.3">
      <c r="A8" s="3"/>
      <c r="B8" s="1"/>
      <c r="C8" s="2" t="s">
        <v>202</v>
      </c>
    </row>
    <row r="9" spans="1:3" ht="15" x14ac:dyDescent="0.35">
      <c r="A9" s="3"/>
      <c r="B9" s="1"/>
      <c r="C9" s="47" t="s">
        <v>195</v>
      </c>
    </row>
    <row r="10" spans="1:3" ht="15" x14ac:dyDescent="0.35">
      <c r="A10" s="3"/>
      <c r="B10" s="3" t="s">
        <v>181</v>
      </c>
      <c r="C10" s="46" t="s">
        <v>196</v>
      </c>
    </row>
    <row r="11" spans="1:3" ht="14.4" x14ac:dyDescent="0.3">
      <c r="A11" s="3"/>
      <c r="B11" s="1"/>
      <c r="C11" s="2" t="s">
        <v>203</v>
      </c>
    </row>
    <row r="12" spans="1:3" ht="15" x14ac:dyDescent="0.35">
      <c r="A12" s="3"/>
      <c r="B12" s="1"/>
      <c r="C12" s="49" t="s">
        <v>197</v>
      </c>
    </row>
    <row r="13" spans="1:3" ht="15" x14ac:dyDescent="0.35">
      <c r="B13" s="48" t="s">
        <v>183</v>
      </c>
      <c r="C13" s="46" t="s">
        <v>198</v>
      </c>
    </row>
    <row r="14" spans="1:3" x14ac:dyDescent="0.3">
      <c r="C14" s="2" t="s">
        <v>204</v>
      </c>
    </row>
    <row r="15" spans="1:3" ht="15" x14ac:dyDescent="0.35">
      <c r="B15" s="48"/>
      <c r="C15" s="47" t="s">
        <v>199</v>
      </c>
    </row>
    <row r="16" spans="1:3" ht="15" x14ac:dyDescent="0.35">
      <c r="B16" s="48" t="s">
        <v>185</v>
      </c>
      <c r="C16" s="46" t="s">
        <v>200</v>
      </c>
    </row>
    <row r="17" spans="1:3" x14ac:dyDescent="0.3">
      <c r="B17" s="48"/>
      <c r="C17" s="2" t="s">
        <v>205</v>
      </c>
    </row>
    <row r="18" spans="1:3" ht="15" x14ac:dyDescent="0.35">
      <c r="C18" s="47" t="s">
        <v>201</v>
      </c>
    </row>
    <row r="19" spans="1:3" ht="23.4" x14ac:dyDescent="0.45">
      <c r="A19" s="18" t="s">
        <v>162</v>
      </c>
    </row>
    <row r="20" spans="1:3" ht="14.4" x14ac:dyDescent="0.3">
      <c r="A20" s="32" t="s">
        <v>86</v>
      </c>
      <c r="B20" s="17" t="s">
        <v>87</v>
      </c>
      <c r="C20" s="17" t="s">
        <v>88</v>
      </c>
    </row>
    <row r="21" spans="1:3" ht="14.4" x14ac:dyDescent="0.3">
      <c r="A21" s="32">
        <v>44927</v>
      </c>
      <c r="B21" s="17" t="s">
        <v>59</v>
      </c>
      <c r="C21" s="17">
        <v>200</v>
      </c>
    </row>
    <row r="22" spans="1:3" ht="14.4" x14ac:dyDescent="0.3">
      <c r="A22" s="32">
        <v>44928</v>
      </c>
      <c r="B22" s="17" t="s">
        <v>60</v>
      </c>
      <c r="C22" s="17" t="e">
        <v>#N/A</v>
      </c>
    </row>
    <row r="23" spans="1:3" ht="14.4" x14ac:dyDescent="0.3">
      <c r="A23" s="32">
        <v>44929</v>
      </c>
      <c r="B23" s="17" t="s">
        <v>61</v>
      </c>
      <c r="C23" s="17">
        <v>50</v>
      </c>
    </row>
    <row r="24" spans="1:3" ht="14.4" x14ac:dyDescent="0.3">
      <c r="A24" s="32">
        <v>44930</v>
      </c>
      <c r="B24" s="17" t="s">
        <v>62</v>
      </c>
      <c r="C24" s="17" t="e">
        <v>#N/A</v>
      </c>
    </row>
    <row r="25" spans="1:3" ht="14.4" x14ac:dyDescent="0.3">
      <c r="A25" s="32">
        <v>44931</v>
      </c>
      <c r="B25" s="17" t="s">
        <v>63</v>
      </c>
      <c r="C25" s="17">
        <v>10</v>
      </c>
    </row>
    <row r="26" spans="1:3" ht="14.4" x14ac:dyDescent="0.3">
      <c r="A26" s="32">
        <v>44932</v>
      </c>
      <c r="B26" s="17" t="s">
        <v>154</v>
      </c>
      <c r="C26" s="17">
        <v>150</v>
      </c>
    </row>
    <row r="27" spans="1:3" ht="14.4" x14ac:dyDescent="0.3">
      <c r="A27" s="32">
        <v>44933</v>
      </c>
      <c r="B27" s="17" t="s">
        <v>155</v>
      </c>
      <c r="C27" s="17">
        <v>80</v>
      </c>
    </row>
    <row r="28" spans="1:3" ht="14.4" x14ac:dyDescent="0.3">
      <c r="A28" s="32">
        <v>44934</v>
      </c>
      <c r="B28" s="17" t="s">
        <v>156</v>
      </c>
      <c r="C28" s="17" t="e">
        <v>#N/A</v>
      </c>
    </row>
    <row r="29" spans="1:3" ht="14.4" x14ac:dyDescent="0.3">
      <c r="A29" s="32">
        <v>44935</v>
      </c>
      <c r="B29" s="17" t="s">
        <v>157</v>
      </c>
      <c r="C29" s="17">
        <v>30</v>
      </c>
    </row>
    <row r="30" spans="1:3" ht="14.4" x14ac:dyDescent="0.3">
      <c r="A30" s="32">
        <v>44936</v>
      </c>
      <c r="B30" s="17" t="s">
        <v>158</v>
      </c>
      <c r="C30" s="17" t="e">
        <v>#N/A</v>
      </c>
    </row>
    <row r="31" spans="1:3" ht="14.4" x14ac:dyDescent="0.3">
      <c r="B31" s="17" t="s">
        <v>159</v>
      </c>
      <c r="C31" s="25">
        <f>SUMIFS(C21:C30, C21:C30, "&lt;&gt;#N/A") + COUNTIF(C21:C30, "#N/A") * 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="67" zoomScaleNormal="100" workbookViewId="0">
      <selection activeCell="F28" sqref="F28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  <c r="F22" s="2" t="s">
        <v>206</v>
      </c>
    </row>
    <row r="23" spans="1:14" ht="14.4" x14ac:dyDescent="0.3">
      <c r="A23" s="7">
        <v>10100</v>
      </c>
      <c r="B23" s="12">
        <v>10102</v>
      </c>
      <c r="C23" s="44"/>
      <c r="F23" s="2" t="s">
        <v>206</v>
      </c>
    </row>
    <row r="24" spans="1:14" ht="14.4" x14ac:dyDescent="0.3">
      <c r="A24" s="7">
        <v>10100</v>
      </c>
      <c r="B24" s="12">
        <v>10104</v>
      </c>
      <c r="C24" s="44"/>
      <c r="F24" s="2" t="s">
        <v>43</v>
      </c>
      <c r="G24" s="2">
        <v>10100</v>
      </c>
    </row>
    <row r="25" spans="1:14" ht="14.4" x14ac:dyDescent="0.3">
      <c r="A25" s="7">
        <v>10108</v>
      </c>
      <c r="B25" s="12">
        <v>10102</v>
      </c>
      <c r="C25" s="44"/>
      <c r="F25" s="2" t="s">
        <v>43</v>
      </c>
      <c r="G25" s="2">
        <v>10102</v>
      </c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dataValidations count="2">
    <dataValidation type="list" allowBlank="1" showInputMessage="1" showErrorMessage="1" sqref="G22:G23" xr:uid="{B963A9B6-234C-44DC-95EF-0A75CBA04AA7}">
      <formula1>$N$10:$N$18</formula1>
    </dataValidation>
    <dataValidation type="list" allowBlank="1" showInputMessage="1" showErrorMessage="1" sqref="G24:G25" xr:uid="{6E3E2363-5937-41C4-B02B-C60E39E1B593}">
      <formula1>$M$10:$M$18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Deepali Josh</cp:lastModifiedBy>
  <dcterms:created xsi:type="dcterms:W3CDTF">2015-02-10T17:33:11Z</dcterms:created>
  <dcterms:modified xsi:type="dcterms:W3CDTF">2023-12-10T18:39:21Z</dcterms:modified>
</cp:coreProperties>
</file>